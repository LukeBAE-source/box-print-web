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HP ProBook 455 G10\Desktop\project\box-print-web\"/>
    </mc:Choice>
  </mc:AlternateContent>
  <xr:revisionPtr revIDLastSave="0" documentId="13_ncr:1_{5AC446F4-C0EC-4F60-B4FC-F59254B568C4}" xr6:coauthVersionLast="36" xr6:coauthVersionMax="36" xr10:uidLastSave="{00000000-0000-0000-0000-000000000000}"/>
  <bookViews>
    <workbookView xWindow="0" yWindow="0" windowWidth="28800" windowHeight="12135" activeTab="1" xr2:uid="{00000000-000D-0000-FFFF-FFFF00000000}"/>
  </bookViews>
  <sheets>
    <sheet name="README" sheetId="1" r:id="rId1"/>
    <sheet name="폴더 구조" sheetId="2" r:id="rId2"/>
  </sheets>
  <calcPr calcId="191029"/>
</workbook>
</file>

<file path=xl/calcChain.xml><?xml version="1.0" encoding="utf-8"?>
<calcChain xmlns="http://schemas.openxmlformats.org/spreadsheetml/2006/main">
  <c r="I23" i="1" l="1"/>
  <c r="I22" i="1"/>
  <c r="I21" i="1"/>
  <c r="I20" i="1"/>
  <c r="I19" i="1"/>
  <c r="I18" i="1"/>
  <c r="I15" i="1"/>
  <c r="I16" i="1"/>
  <c r="I14" i="1"/>
</calcChain>
</file>

<file path=xl/sharedStrings.xml><?xml version="1.0" encoding="utf-8"?>
<sst xmlns="http://schemas.openxmlformats.org/spreadsheetml/2006/main" count="268" uniqueCount="141">
  <si>
    <t>iloom / desker / slowbed</t>
  </si>
  <si>
    <t>단품코드</t>
  </si>
  <si>
    <t>국문 품명</t>
  </si>
  <si>
    <t>영문 품명 (없으면 공란 허용)</t>
  </si>
  <si>
    <t>매뉴얼 기준 박스 형태 
(예: BASIC
PANEL
LONG
CHAIR
COMPACT)</t>
  </si>
  <si>
    <t>사이즈 구간
 (XS, S, M, L, XL)</t>
  </si>
  <si>
    <t>박스 길이(mm)</t>
  </si>
  <si>
    <t>박스 폭(mm)</t>
  </si>
  <si>
    <t>박스 높이(mm)</t>
  </si>
  <si>
    <t>MADE IN KOREA 
 VIETNAM 
 CHINA</t>
  </si>
  <si>
    <t>BASIC</t>
  </si>
  <si>
    <t>1:1 / A3 / A4</t>
  </si>
  <si>
    <t>Y / N (전개선 표시 여부)</t>
  </si>
  <si>
    <t>KO / EN / BOTH</t>
  </si>
  <si>
    <t>brand</t>
  </si>
  <si>
    <t>sku</t>
  </si>
  <si>
    <t>product_name_ko</t>
  </si>
  <si>
    <t>product_name_en</t>
  </si>
  <si>
    <t>box_type</t>
  </si>
  <si>
    <t>box_group</t>
  </si>
  <si>
    <t>length_mm</t>
  </si>
  <si>
    <t>width_mm</t>
  </si>
  <si>
    <t>height_mm</t>
  </si>
  <si>
    <t>origin_country</t>
  </si>
  <si>
    <t>icon_set</t>
  </si>
  <si>
    <t>pdf_scale</t>
  </si>
  <si>
    <t>show_diecut</t>
  </si>
  <si>
    <t>output_language</t>
  </si>
  <si>
    <t>iloom</t>
  </si>
  <si>
    <t>HCH7100</t>
  </si>
  <si>
    <t>휴스턴 인조가죽 의자 (2ea)</t>
  </si>
  <si>
    <t>M</t>
  </si>
  <si>
    <t>VIETNAM</t>
  </si>
  <si>
    <t>Y</t>
  </si>
  <si>
    <t>BOTH</t>
  </si>
  <si>
    <t>desker</t>
  </si>
  <si>
    <t>DSABCA0101</t>
  </si>
  <si>
    <t>외장형 멀티탭 클램프</t>
  </si>
  <si>
    <t>COMPACT</t>
  </si>
  <si>
    <t>XS</t>
  </si>
  <si>
    <t>KOREA</t>
  </si>
  <si>
    <t>SLFF0165B</t>
  </si>
  <si>
    <t>슬로우베드 버치 프레임 일반 바닥판 K</t>
  </si>
  <si>
    <t>PANEL</t>
  </si>
  <si>
    <t>L</t>
  </si>
  <si>
    <t>CHINA</t>
  </si>
  <si>
    <t>기본형</t>
  </si>
  <si>
    <t>축소형</t>
  </si>
  <si>
    <t>S</t>
  </si>
  <si>
    <t>210~399</t>
  </si>
  <si>
    <t>200~399</t>
  </si>
  <si>
    <t>표준형</t>
  </si>
  <si>
    <t>400~899</t>
  </si>
  <si>
    <t>확대형</t>
  </si>
  <si>
    <t>900~</t>
  </si>
  <si>
    <t>판재형</t>
  </si>
  <si>
    <t>축소형*축소형</t>
  </si>
  <si>
    <t>SS</t>
  </si>
  <si>
    <t>300~599</t>
  </si>
  <si>
    <t>20~39</t>
  </si>
  <si>
    <t>표준형*축소형</t>
  </si>
  <si>
    <t>MS</t>
  </si>
  <si>
    <t>600~1799</t>
  </si>
  <si>
    <t>표준형*표준형</t>
  </si>
  <si>
    <t>MM</t>
  </si>
  <si>
    <t>40~99</t>
  </si>
  <si>
    <t>확대형*축소형</t>
  </si>
  <si>
    <t>LS</t>
  </si>
  <si>
    <t>1800~</t>
  </si>
  <si>
    <t>확대형*표준형</t>
  </si>
  <si>
    <t>LM</t>
  </si>
  <si>
    <t>확대형*확대형</t>
  </si>
  <si>
    <t>LL</t>
  </si>
  <si>
    <t>100~</t>
  </si>
  <si>
    <t>막대형</t>
  </si>
  <si>
    <t>LONG</t>
  </si>
  <si>
    <t>200~599</t>
  </si>
  <si>
    <t>LONG_SS</t>
  </si>
  <si>
    <t>LONG_MS</t>
  </si>
  <si>
    <t>LONG_MM</t>
  </si>
  <si>
    <t>1800~2400</t>
  </si>
  <si>
    <t>LONG_LS</t>
  </si>
  <si>
    <t>LONG_LM</t>
  </si>
  <si>
    <t>LONG_LL</t>
  </si>
  <si>
    <t>소형</t>
  </si>
  <si>
    <t>20~209</t>
  </si>
  <si>
    <t>70~199</t>
  </si>
  <si>
    <t>COMPACT_M</t>
  </si>
  <si>
    <t>300~499</t>
  </si>
  <si>
    <t>150~299</t>
  </si>
  <si>
    <t>BASIC_S</t>
  </si>
  <si>
    <t>500~899</t>
  </si>
  <si>
    <t>BASIC_M</t>
  </si>
  <si>
    <t>900~1250</t>
  </si>
  <si>
    <t>500~950</t>
  </si>
  <si>
    <t>BASIC_L</t>
  </si>
  <si>
    <t>350~649</t>
  </si>
  <si>
    <t>250~449</t>
  </si>
  <si>
    <t>PANEL_S</t>
  </si>
  <si>
    <t>650~1199</t>
  </si>
  <si>
    <t>450~749</t>
  </si>
  <si>
    <t>PANEL_M</t>
  </si>
  <si>
    <t>1200~1450</t>
  </si>
  <si>
    <t>100~150</t>
  </si>
  <si>
    <t>750~850</t>
  </si>
  <si>
    <t>PANEL_L</t>
  </si>
  <si>
    <t>400~649</t>
  </si>
  <si>
    <t>40~79</t>
  </si>
  <si>
    <t>LONG_S</t>
  </si>
  <si>
    <t>650~999</t>
  </si>
  <si>
    <t>80~119</t>
  </si>
  <si>
    <t>LONG_M</t>
  </si>
  <si>
    <t>1000~1400</t>
  </si>
  <si>
    <t>80~150</t>
  </si>
  <si>
    <t>120~250</t>
  </si>
  <si>
    <t>LONG_L</t>
  </si>
  <si>
    <t>_</t>
  </si>
  <si>
    <t>상하분리형</t>
  </si>
  <si>
    <t>LID</t>
  </si>
  <si>
    <t>LID_M</t>
  </si>
  <si>
    <t>file_name</t>
    <phoneticPr fontId="18" type="noConversion"/>
  </si>
  <si>
    <t>brand</t>
    <phoneticPr fontId="18" type="noConversion"/>
  </si>
  <si>
    <t>range</t>
    <phoneticPr fontId="18" type="noConversion"/>
  </si>
  <si>
    <t>iloom</t>
    <phoneticPr fontId="18" type="noConversion"/>
  </si>
  <si>
    <t>sloubed</t>
    <phoneticPr fontId="18" type="noConversion"/>
  </si>
  <si>
    <t>box_type</t>
    <phoneticPr fontId="18" type="noConversion"/>
  </si>
  <si>
    <t>project/</t>
  </si>
  <si>
    <t xml:space="preserve">  templates/</t>
  </si>
  <si>
    <t xml:space="preserve">    iloom/*.pdf</t>
  </si>
  <si>
    <t xml:space="preserve">    desker/*.pdf</t>
  </si>
  <si>
    <t xml:space="preserve">    sloubed/*.pdf</t>
  </si>
  <si>
    <t xml:space="preserve">  icons/icon_*.png</t>
  </si>
  <si>
    <t xml:space="preserve">  fonts/NotoSansKR-Medium.ttf</t>
  </si>
  <si>
    <t xml:space="preserve">  coords/coords.json           # 좌표 DB (템플릿별)</t>
  </si>
  <si>
    <t xml:space="preserve">  box_data.xlsx                # 실데이터</t>
  </si>
  <si>
    <t xml:space="preserve">  guide_maker.py               # (1) 가이드 생성 + 좌표 작업용</t>
  </si>
  <si>
    <t xml:space="preserve">  renderer.py                  # (2) 엑셀 기반 출력용</t>
  </si>
  <si>
    <t xml:space="preserve">가이드 만들기     python guide_maker.py --all  </t>
    <phoneticPr fontId="18" type="noConversion"/>
  </si>
  <si>
    <t>인쇄시안 만들기    python renderer.py</t>
    <phoneticPr fontId="18" type="noConversion"/>
  </si>
  <si>
    <t xml:space="preserve">python guide_maker.py --all  </t>
  </si>
  <si>
    <t>python renderer.py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</si>
</sst>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9"/>
      <color theme="1"/>
      <name val="맑은 고딕"/>
      <family val="2"/>
      <charset val="129"/>
    </font>
    <font>
      <sz val="9"/>
      <color theme="1"/>
      <name val="맑은 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9"/>
      <color rgb="FF006100"/>
      <name val="맑은 고딕"/>
      <family val="2"/>
      <charset val="129"/>
    </font>
    <font>
      <sz val="9"/>
      <color rgb="FF9C0006"/>
      <name val="맑은 고딕"/>
      <family val="2"/>
      <charset val="129"/>
    </font>
    <font>
      <sz val="9"/>
      <color rgb="FF9C5700"/>
      <name val="맑은 고딕"/>
      <family val="2"/>
      <charset val="129"/>
    </font>
    <font>
      <sz val="9"/>
      <color rgb="FF3F3F76"/>
      <name val="맑은 고딕"/>
      <family val="2"/>
      <charset val="129"/>
    </font>
    <font>
      <b/>
      <sz val="9"/>
      <color rgb="FF3F3F3F"/>
      <name val="맑은 고딕"/>
      <family val="2"/>
      <charset val="129"/>
    </font>
    <font>
      <b/>
      <sz val="9"/>
      <color rgb="FFFA7D00"/>
      <name val="맑은 고딕"/>
      <family val="2"/>
      <charset val="129"/>
    </font>
    <font>
      <sz val="9"/>
      <color rgb="FFFA7D00"/>
      <name val="맑은 고딕"/>
      <family val="2"/>
      <charset val="129"/>
    </font>
    <font>
      <b/>
      <sz val="9"/>
      <color theme="0"/>
      <name val="맑은 고딕"/>
      <family val="2"/>
      <charset val="129"/>
    </font>
    <font>
      <sz val="9"/>
      <color rgb="FFFF0000"/>
      <name val="맑은 고딕"/>
      <family val="2"/>
      <charset val="129"/>
    </font>
    <font>
      <i/>
      <sz val="9"/>
      <color rgb="FF7F7F7F"/>
      <name val="맑은 고딕"/>
      <family val="2"/>
      <charset val="129"/>
    </font>
    <font>
      <b/>
      <sz val="9"/>
      <color theme="1"/>
      <name val="맑은 고딕"/>
      <family val="2"/>
      <charset val="129"/>
    </font>
    <font>
      <sz val="9"/>
      <color theme="0"/>
      <name val="맑은 고딕"/>
      <family val="2"/>
      <charset val="129"/>
    </font>
    <font>
      <sz val="8"/>
      <name val="맑은 고딕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20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58"/>
  <sheetViews>
    <sheetView topLeftCell="A31" workbookViewId="0">
      <selection activeCell="A50" sqref="A50:E57"/>
    </sheetView>
  </sheetViews>
  <sheetFormatPr defaultRowHeight="12" x14ac:dyDescent="0.2"/>
  <sheetData>
    <row r="1" spans="1:14" ht="108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">
      <c r="A3" t="s">
        <v>28</v>
      </c>
      <c r="B3" t="s">
        <v>29</v>
      </c>
      <c r="C3" t="s">
        <v>30</v>
      </c>
      <c r="E3" t="s">
        <v>10</v>
      </c>
      <c r="F3" t="s">
        <v>31</v>
      </c>
      <c r="G3">
        <v>700</v>
      </c>
      <c r="H3">
        <v>600</v>
      </c>
      <c r="I3">
        <v>900</v>
      </c>
      <c r="J3" t="s">
        <v>32</v>
      </c>
      <c r="K3" t="s">
        <v>10</v>
      </c>
      <c r="L3" s="2">
        <v>4.2361111111111106E-2</v>
      </c>
      <c r="M3" t="s">
        <v>33</v>
      </c>
      <c r="N3" t="s">
        <v>34</v>
      </c>
    </row>
    <row r="4" spans="1:14" x14ac:dyDescent="0.2">
      <c r="A4" t="s">
        <v>35</v>
      </c>
      <c r="B4" t="s">
        <v>36</v>
      </c>
      <c r="C4" t="s">
        <v>37</v>
      </c>
      <c r="E4" t="s">
        <v>38</v>
      </c>
      <c r="F4" t="s">
        <v>39</v>
      </c>
      <c r="G4">
        <v>125</v>
      </c>
      <c r="H4">
        <v>125</v>
      </c>
      <c r="I4">
        <v>80</v>
      </c>
      <c r="J4" t="s">
        <v>40</v>
      </c>
      <c r="K4" t="s">
        <v>10</v>
      </c>
      <c r="L4" s="2">
        <v>4.2361111111111106E-2</v>
      </c>
      <c r="M4" t="s">
        <v>33</v>
      </c>
      <c r="N4" t="s">
        <v>34</v>
      </c>
    </row>
    <row r="5" spans="1:14" x14ac:dyDescent="0.2">
      <c r="A5" t="s">
        <v>124</v>
      </c>
      <c r="B5" t="s">
        <v>41</v>
      </c>
      <c r="C5" t="s">
        <v>42</v>
      </c>
      <c r="E5" t="s">
        <v>43</v>
      </c>
      <c r="F5" t="s">
        <v>44</v>
      </c>
      <c r="G5">
        <v>1590</v>
      </c>
      <c r="H5">
        <v>980</v>
      </c>
      <c r="I5">
        <v>55</v>
      </c>
      <c r="J5" t="s">
        <v>45</v>
      </c>
      <c r="K5" t="s">
        <v>10</v>
      </c>
      <c r="L5" s="2">
        <v>4.2361111111111106E-2</v>
      </c>
      <c r="M5" t="s">
        <v>33</v>
      </c>
      <c r="N5" t="s">
        <v>34</v>
      </c>
    </row>
    <row r="12" spans="1:14" x14ac:dyDescent="0.2">
      <c r="F12" s="3" t="s">
        <v>122</v>
      </c>
      <c r="G12" s="3"/>
      <c r="H12" s="3"/>
    </row>
    <row r="13" spans="1:14" x14ac:dyDescent="0.2">
      <c r="A13" t="s">
        <v>121</v>
      </c>
      <c r="B13" s="3" t="s">
        <v>125</v>
      </c>
      <c r="C13" s="3"/>
      <c r="D13" s="3" t="s">
        <v>19</v>
      </c>
      <c r="E13" s="3"/>
      <c r="F13" t="s">
        <v>20</v>
      </c>
      <c r="G13" t="s">
        <v>21</v>
      </c>
      <c r="H13" t="s">
        <v>22</v>
      </c>
      <c r="I13" t="s">
        <v>120</v>
      </c>
    </row>
    <row r="14" spans="1:14" x14ac:dyDescent="0.2">
      <c r="A14" t="s">
        <v>123</v>
      </c>
      <c r="B14" t="s">
        <v>46</v>
      </c>
      <c r="C14" t="s">
        <v>10</v>
      </c>
      <c r="D14" t="s">
        <v>47</v>
      </c>
      <c r="E14" t="s">
        <v>48</v>
      </c>
      <c r="F14" t="s">
        <v>49</v>
      </c>
      <c r="G14" t="s">
        <v>50</v>
      </c>
      <c r="I14" t="str">
        <f>C14&amp;"_"&amp;E14</f>
        <v>BASIC_S</v>
      </c>
    </row>
    <row r="15" spans="1:14" x14ac:dyDescent="0.2">
      <c r="C15" t="s">
        <v>10</v>
      </c>
      <c r="D15" t="s">
        <v>51</v>
      </c>
      <c r="E15" t="s">
        <v>31</v>
      </c>
      <c r="F15" t="s">
        <v>52</v>
      </c>
      <c r="G15" t="s">
        <v>52</v>
      </c>
      <c r="I15" t="str">
        <f t="shared" ref="I15:I23" si="0">C15&amp;"_"&amp;E15</f>
        <v>BASIC_M</v>
      </c>
    </row>
    <row r="16" spans="1:14" x14ac:dyDescent="0.2">
      <c r="C16" t="s">
        <v>10</v>
      </c>
      <c r="D16" t="s">
        <v>53</v>
      </c>
      <c r="E16" t="s">
        <v>44</v>
      </c>
      <c r="F16" t="s">
        <v>54</v>
      </c>
      <c r="G16" t="s">
        <v>54</v>
      </c>
      <c r="I16" t="str">
        <f t="shared" si="0"/>
        <v>BASIC_L</v>
      </c>
    </row>
    <row r="18" spans="2:9" x14ac:dyDescent="0.2">
      <c r="B18" t="s">
        <v>55</v>
      </c>
      <c r="C18" t="s">
        <v>43</v>
      </c>
      <c r="D18" t="s">
        <v>56</v>
      </c>
      <c r="E18" t="s">
        <v>57</v>
      </c>
      <c r="F18" t="s">
        <v>58</v>
      </c>
      <c r="G18" t="s">
        <v>59</v>
      </c>
      <c r="H18" t="s">
        <v>58</v>
      </c>
      <c r="I18" t="str">
        <f t="shared" si="0"/>
        <v>PANEL_SS</v>
      </c>
    </row>
    <row r="19" spans="2:9" x14ac:dyDescent="0.2">
      <c r="C19" t="s">
        <v>43</v>
      </c>
      <c r="D19" t="s">
        <v>60</v>
      </c>
      <c r="E19" t="s">
        <v>61</v>
      </c>
      <c r="F19" t="s">
        <v>62</v>
      </c>
      <c r="G19" t="s">
        <v>59</v>
      </c>
      <c r="H19" t="s">
        <v>62</v>
      </c>
      <c r="I19" t="str">
        <f t="shared" si="0"/>
        <v>PANEL_MS</v>
      </c>
    </row>
    <row r="20" spans="2:9" x14ac:dyDescent="0.2">
      <c r="C20" t="s">
        <v>43</v>
      </c>
      <c r="D20" t="s">
        <v>63</v>
      </c>
      <c r="E20" t="s">
        <v>64</v>
      </c>
      <c r="F20" t="s">
        <v>62</v>
      </c>
      <c r="G20" t="s">
        <v>65</v>
      </c>
      <c r="H20" t="s">
        <v>62</v>
      </c>
      <c r="I20" t="str">
        <f t="shared" si="0"/>
        <v>PANEL_MM</v>
      </c>
    </row>
    <row r="21" spans="2:9" x14ac:dyDescent="0.2">
      <c r="C21" t="s">
        <v>43</v>
      </c>
      <c r="D21" t="s">
        <v>66</v>
      </c>
      <c r="E21" t="s">
        <v>67</v>
      </c>
      <c r="F21" t="s">
        <v>68</v>
      </c>
      <c r="G21" t="s">
        <v>59</v>
      </c>
      <c r="H21" t="s">
        <v>68</v>
      </c>
      <c r="I21" t="str">
        <f t="shared" si="0"/>
        <v>PANEL_LS</v>
      </c>
    </row>
    <row r="22" spans="2:9" x14ac:dyDescent="0.2">
      <c r="C22" t="s">
        <v>43</v>
      </c>
      <c r="D22" t="s">
        <v>69</v>
      </c>
      <c r="E22" t="s">
        <v>70</v>
      </c>
      <c r="F22" t="s">
        <v>68</v>
      </c>
      <c r="G22" t="s">
        <v>65</v>
      </c>
      <c r="H22" t="s">
        <v>68</v>
      </c>
      <c r="I22" t="str">
        <f t="shared" si="0"/>
        <v>PANEL_LM</v>
      </c>
    </row>
    <row r="23" spans="2:9" x14ac:dyDescent="0.2">
      <c r="C23" t="s">
        <v>43</v>
      </c>
      <c r="D23" t="s">
        <v>71</v>
      </c>
      <c r="E23" t="s">
        <v>72</v>
      </c>
      <c r="F23" t="s">
        <v>68</v>
      </c>
      <c r="G23" t="s">
        <v>73</v>
      </c>
      <c r="H23" t="s">
        <v>68</v>
      </c>
      <c r="I23" t="str">
        <f t="shared" si="0"/>
        <v>PANEL_LL</v>
      </c>
    </row>
    <row r="25" spans="2:9" x14ac:dyDescent="0.2">
      <c r="B25" t="s">
        <v>74</v>
      </c>
      <c r="C25" t="s">
        <v>75</v>
      </c>
      <c r="D25" t="s">
        <v>56</v>
      </c>
      <c r="E25" t="s">
        <v>57</v>
      </c>
      <c r="F25" t="s">
        <v>76</v>
      </c>
      <c r="G25" t="s">
        <v>59</v>
      </c>
      <c r="I25" t="s">
        <v>77</v>
      </c>
    </row>
    <row r="26" spans="2:9" x14ac:dyDescent="0.2">
      <c r="C26" t="s">
        <v>75</v>
      </c>
      <c r="D26" t="s">
        <v>60</v>
      </c>
      <c r="E26" t="s">
        <v>61</v>
      </c>
      <c r="F26" t="s">
        <v>62</v>
      </c>
      <c r="G26" t="s">
        <v>59</v>
      </c>
      <c r="I26" t="s">
        <v>78</v>
      </c>
    </row>
    <row r="27" spans="2:9" x14ac:dyDescent="0.2">
      <c r="C27" t="s">
        <v>75</v>
      </c>
      <c r="D27" t="s">
        <v>63</v>
      </c>
      <c r="E27" t="s">
        <v>64</v>
      </c>
      <c r="F27" t="s">
        <v>62</v>
      </c>
      <c r="G27" t="s">
        <v>65</v>
      </c>
      <c r="I27" t="s">
        <v>79</v>
      </c>
    </row>
    <row r="28" spans="2:9" x14ac:dyDescent="0.2">
      <c r="C28" t="s">
        <v>75</v>
      </c>
      <c r="D28" t="s">
        <v>66</v>
      </c>
      <c r="E28" t="s">
        <v>67</v>
      </c>
      <c r="F28" t="s">
        <v>80</v>
      </c>
      <c r="G28" t="s">
        <v>59</v>
      </c>
      <c r="I28" t="s">
        <v>81</v>
      </c>
    </row>
    <row r="29" spans="2:9" x14ac:dyDescent="0.2">
      <c r="C29" t="s">
        <v>75</v>
      </c>
      <c r="D29" t="s">
        <v>69</v>
      </c>
      <c r="E29" t="s">
        <v>70</v>
      </c>
      <c r="F29" t="s">
        <v>80</v>
      </c>
      <c r="G29" t="s">
        <v>65</v>
      </c>
      <c r="I29" t="s">
        <v>82</v>
      </c>
    </row>
    <row r="30" spans="2:9" x14ac:dyDescent="0.2">
      <c r="C30" t="s">
        <v>75</v>
      </c>
      <c r="D30" t="s">
        <v>71</v>
      </c>
      <c r="E30" t="s">
        <v>72</v>
      </c>
      <c r="F30" t="s">
        <v>80</v>
      </c>
      <c r="G30" t="s">
        <v>73</v>
      </c>
      <c r="I30" t="s">
        <v>83</v>
      </c>
    </row>
    <row r="32" spans="2:9" x14ac:dyDescent="0.2">
      <c r="B32" t="s">
        <v>84</v>
      </c>
      <c r="C32" t="s">
        <v>38</v>
      </c>
      <c r="E32" t="s">
        <v>31</v>
      </c>
      <c r="F32" t="s">
        <v>85</v>
      </c>
      <c r="G32" t="s">
        <v>86</v>
      </c>
      <c r="I32" t="s">
        <v>87</v>
      </c>
    </row>
    <row r="36" spans="1:9" x14ac:dyDescent="0.2">
      <c r="A36" t="s">
        <v>35</v>
      </c>
      <c r="B36" t="s">
        <v>46</v>
      </c>
      <c r="C36" t="s">
        <v>10</v>
      </c>
      <c r="D36" t="s">
        <v>47</v>
      </c>
      <c r="E36" t="s">
        <v>48</v>
      </c>
      <c r="F36" t="s">
        <v>88</v>
      </c>
      <c r="G36" t="s">
        <v>89</v>
      </c>
      <c r="I36" t="s">
        <v>90</v>
      </c>
    </row>
    <row r="37" spans="1:9" x14ac:dyDescent="0.2">
      <c r="C37" t="s">
        <v>10</v>
      </c>
      <c r="D37" t="s">
        <v>51</v>
      </c>
      <c r="E37" t="s">
        <v>31</v>
      </c>
      <c r="F37" t="s">
        <v>91</v>
      </c>
      <c r="G37" t="s">
        <v>88</v>
      </c>
      <c r="I37" t="s">
        <v>92</v>
      </c>
    </row>
    <row r="38" spans="1:9" x14ac:dyDescent="0.2">
      <c r="C38" t="s">
        <v>10</v>
      </c>
      <c r="D38" t="s">
        <v>53</v>
      </c>
      <c r="E38" t="s">
        <v>44</v>
      </c>
      <c r="F38" t="s">
        <v>93</v>
      </c>
      <c r="G38" t="s">
        <v>94</v>
      </c>
      <c r="I38" t="s">
        <v>95</v>
      </c>
    </row>
    <row r="40" spans="1:9" x14ac:dyDescent="0.2">
      <c r="B40" t="s">
        <v>55</v>
      </c>
      <c r="C40" t="s">
        <v>43</v>
      </c>
      <c r="D40" t="s">
        <v>47</v>
      </c>
      <c r="E40" t="s">
        <v>48</v>
      </c>
      <c r="F40" t="s">
        <v>96</v>
      </c>
      <c r="G40" t="s">
        <v>59</v>
      </c>
      <c r="H40" t="s">
        <v>97</v>
      </c>
      <c r="I40" t="s">
        <v>98</v>
      </c>
    </row>
    <row r="41" spans="1:9" x14ac:dyDescent="0.2">
      <c r="C41" t="s">
        <v>43</v>
      </c>
      <c r="D41" t="s">
        <v>51</v>
      </c>
      <c r="E41" t="s">
        <v>31</v>
      </c>
      <c r="F41" t="s">
        <v>99</v>
      </c>
      <c r="G41" t="s">
        <v>65</v>
      </c>
      <c r="H41" t="s">
        <v>100</v>
      </c>
      <c r="I41" t="s">
        <v>101</v>
      </c>
    </row>
    <row r="42" spans="1:9" x14ac:dyDescent="0.2">
      <c r="C42" t="s">
        <v>43</v>
      </c>
      <c r="D42" t="s">
        <v>53</v>
      </c>
      <c r="E42" t="s">
        <v>44</v>
      </c>
      <c r="F42" t="s">
        <v>102</v>
      </c>
      <c r="G42" t="s">
        <v>103</v>
      </c>
      <c r="H42" t="s">
        <v>104</v>
      </c>
      <c r="I42" t="s">
        <v>105</v>
      </c>
    </row>
    <row r="44" spans="1:9" x14ac:dyDescent="0.2">
      <c r="B44" t="s">
        <v>74</v>
      </c>
      <c r="C44" t="s">
        <v>75</v>
      </c>
      <c r="D44" t="s">
        <v>47</v>
      </c>
      <c r="E44" t="s">
        <v>48</v>
      </c>
      <c r="F44" t="s">
        <v>106</v>
      </c>
      <c r="G44" t="s">
        <v>59</v>
      </c>
      <c r="H44" t="s">
        <v>107</v>
      </c>
      <c r="I44" t="s">
        <v>108</v>
      </c>
    </row>
    <row r="45" spans="1:9" x14ac:dyDescent="0.2">
      <c r="C45" t="s">
        <v>75</v>
      </c>
      <c r="D45" t="s">
        <v>51</v>
      </c>
      <c r="E45" t="s">
        <v>31</v>
      </c>
      <c r="F45" t="s">
        <v>109</v>
      </c>
      <c r="G45" t="s">
        <v>107</v>
      </c>
      <c r="H45" t="s">
        <v>110</v>
      </c>
      <c r="I45" t="s">
        <v>111</v>
      </c>
    </row>
    <row r="46" spans="1:9" x14ac:dyDescent="0.2">
      <c r="C46" t="s">
        <v>75</v>
      </c>
      <c r="D46" t="s">
        <v>53</v>
      </c>
      <c r="E46" t="s">
        <v>44</v>
      </c>
      <c r="F46" t="s">
        <v>112</v>
      </c>
      <c r="G46" t="s">
        <v>113</v>
      </c>
      <c r="H46" t="s">
        <v>114</v>
      </c>
      <c r="I46" t="s">
        <v>115</v>
      </c>
    </row>
    <row r="50" spans="1:9" x14ac:dyDescent="0.2">
      <c r="A50" t="s">
        <v>124</v>
      </c>
      <c r="B50" t="s">
        <v>46</v>
      </c>
      <c r="C50" t="s">
        <v>10</v>
      </c>
      <c r="D50" t="s">
        <v>47</v>
      </c>
      <c r="E50" t="s">
        <v>48</v>
      </c>
      <c r="F50">
        <v>300</v>
      </c>
      <c r="G50">
        <v>300</v>
      </c>
      <c r="H50">
        <v>200</v>
      </c>
      <c r="I50" t="s">
        <v>90</v>
      </c>
    </row>
    <row r="51" spans="1:9" x14ac:dyDescent="0.2">
      <c r="C51" t="s">
        <v>10</v>
      </c>
      <c r="D51" t="s">
        <v>51</v>
      </c>
      <c r="E51" t="s">
        <v>31</v>
      </c>
      <c r="F51">
        <v>600</v>
      </c>
      <c r="G51">
        <v>600</v>
      </c>
      <c r="H51">
        <v>400</v>
      </c>
      <c r="I51" t="s">
        <v>92</v>
      </c>
    </row>
    <row r="52" spans="1:9" x14ac:dyDescent="0.2">
      <c r="I52" t="s">
        <v>116</v>
      </c>
    </row>
    <row r="53" spans="1:9" x14ac:dyDescent="0.2">
      <c r="B53" t="s">
        <v>55</v>
      </c>
      <c r="C53" t="s">
        <v>43</v>
      </c>
      <c r="D53" t="s">
        <v>51</v>
      </c>
      <c r="E53" t="s">
        <v>31</v>
      </c>
      <c r="F53">
        <v>1000</v>
      </c>
      <c r="G53">
        <v>50</v>
      </c>
      <c r="H53">
        <v>500</v>
      </c>
      <c r="I53" t="s">
        <v>101</v>
      </c>
    </row>
    <row r="54" spans="1:9" x14ac:dyDescent="0.2">
      <c r="I54" t="s">
        <v>116</v>
      </c>
    </row>
    <row r="55" spans="1:9" x14ac:dyDescent="0.2">
      <c r="B55" t="s">
        <v>74</v>
      </c>
      <c r="C55" t="s">
        <v>75</v>
      </c>
      <c r="D55" t="s">
        <v>51</v>
      </c>
      <c r="E55" t="s">
        <v>31</v>
      </c>
      <c r="F55">
        <v>1200</v>
      </c>
      <c r="G55">
        <v>50</v>
      </c>
      <c r="H55">
        <v>90</v>
      </c>
      <c r="I55" t="s">
        <v>111</v>
      </c>
    </row>
    <row r="56" spans="1:9" x14ac:dyDescent="0.2">
      <c r="I56" t="s">
        <v>116</v>
      </c>
    </row>
    <row r="57" spans="1:9" x14ac:dyDescent="0.2">
      <c r="B57" t="s">
        <v>117</v>
      </c>
      <c r="C57" t="s">
        <v>118</v>
      </c>
      <c r="D57" t="s">
        <v>51</v>
      </c>
      <c r="E57" t="s">
        <v>31</v>
      </c>
      <c r="F57">
        <v>2065</v>
      </c>
      <c r="G57">
        <v>340</v>
      </c>
      <c r="H57">
        <v>1165</v>
      </c>
      <c r="I57" t="s">
        <v>119</v>
      </c>
    </row>
    <row r="58" spans="1:9" x14ac:dyDescent="0.2">
      <c r="H58" t="s">
        <v>116</v>
      </c>
    </row>
  </sheetData>
  <mergeCells count="3">
    <mergeCell ref="D13:E13"/>
    <mergeCell ref="B13:C13"/>
    <mergeCell ref="F12:H12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1DDBD-7E45-475A-BD69-1020A488AB83}">
  <sheetPr codeName="Sheet2"/>
  <dimension ref="A1:B17"/>
  <sheetViews>
    <sheetView tabSelected="1" workbookViewId="0">
      <selection activeCell="B17" sqref="B17"/>
    </sheetView>
  </sheetViews>
  <sheetFormatPr defaultRowHeight="12" x14ac:dyDescent="0.2"/>
  <cols>
    <col min="1" max="1" width="53" bestFit="1" customWidth="1"/>
  </cols>
  <sheetData>
    <row r="1" spans="1:2" x14ac:dyDescent="0.2">
      <c r="A1" t="s">
        <v>126</v>
      </c>
    </row>
    <row r="2" spans="1:2" x14ac:dyDescent="0.2">
      <c r="A2" t="s">
        <v>127</v>
      </c>
    </row>
    <row r="3" spans="1:2" x14ac:dyDescent="0.2">
      <c r="A3" t="s">
        <v>128</v>
      </c>
    </row>
    <row r="4" spans="1:2" x14ac:dyDescent="0.2">
      <c r="A4" t="s">
        <v>129</v>
      </c>
    </row>
    <row r="5" spans="1:2" x14ac:dyDescent="0.2">
      <c r="A5" t="s">
        <v>130</v>
      </c>
    </row>
    <row r="6" spans="1:2" x14ac:dyDescent="0.2">
      <c r="A6" t="s">
        <v>131</v>
      </c>
    </row>
    <row r="7" spans="1:2" x14ac:dyDescent="0.2">
      <c r="A7" t="s">
        <v>132</v>
      </c>
    </row>
    <row r="8" spans="1:2" x14ac:dyDescent="0.2">
      <c r="A8" t="s">
        <v>133</v>
      </c>
    </row>
    <row r="9" spans="1:2" x14ac:dyDescent="0.2">
      <c r="A9" t="s">
        <v>134</v>
      </c>
    </row>
    <row r="10" spans="1:2" x14ac:dyDescent="0.2">
      <c r="A10" t="s">
        <v>135</v>
      </c>
    </row>
    <row r="11" spans="1:2" x14ac:dyDescent="0.2">
      <c r="A11" t="s">
        <v>136</v>
      </c>
    </row>
    <row r="16" spans="1:2" x14ac:dyDescent="0.2">
      <c r="A16" t="s">
        <v>137</v>
      </c>
      <c r="B16" t="s">
        <v>139</v>
      </c>
    </row>
    <row r="17" spans="1:2" x14ac:dyDescent="0.2">
      <c r="A17" t="s">
        <v>138</v>
      </c>
      <c r="B17" t="s">
        <v>140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README</vt:lpstr>
      <vt:lpstr>폴더 구조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LukeBae</dc:creator>
  <cp:lastModifiedBy>배종현 (Luke Bae)</cp:lastModifiedBy>
  <dcterms:created xsi:type="dcterms:W3CDTF">2026-02-11T07:10:02Z</dcterms:created>
  <dcterms:modified xsi:type="dcterms:W3CDTF">2026-03-03T09:52:48Z</dcterms:modified>
</cp:coreProperties>
</file>